
<file path=[Content_Types].xml><?xml version="1.0" encoding="utf-8"?>
<Types xmlns="http://schemas.openxmlformats.org/package/2006/content-types"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harts/chart2.xml" ContentType="application/vnd.openxmlformats-officedocument.drawingml.chart+xml"/>
  <Override PartName="/xl/charts/chart3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2.xml" ContentType="application/vnd.openxmlformats-officedocument.spreadsheetml.pivotCacheDefinitio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xl/pivotCache/pivotCacheRecords2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60" windowWidth="20055" windowHeight="7950"/>
  </bookViews>
  <sheets>
    <sheet name="Sheet1" sheetId="1" r:id="rId1"/>
    <sheet name="Sheet2" sheetId="2" r:id="rId2"/>
    <sheet name="Sheet3" sheetId="3" r:id="rId3"/>
  </sheets>
  <calcPr calcId="124519"/>
  <pivotCaches>
    <pivotCache cacheId="3" r:id="rId4"/>
    <pivotCache cacheId="17" r:id="rId5"/>
  </pivotCaches>
</workbook>
</file>

<file path=xl/calcChain.xml><?xml version="1.0" encoding="utf-8"?>
<calcChain xmlns="http://schemas.openxmlformats.org/spreadsheetml/2006/main">
  <c r="H3" i="1"/>
  <c r="H4"/>
  <c r="H5"/>
  <c r="H6"/>
  <c r="H7"/>
  <c r="H8"/>
  <c r="H9"/>
  <c r="H10"/>
  <c r="H11"/>
  <c r="H12"/>
  <c r="H13"/>
  <c r="H2"/>
</calcChain>
</file>

<file path=xl/sharedStrings.xml><?xml version="1.0" encoding="utf-8"?>
<sst xmlns="http://schemas.openxmlformats.org/spreadsheetml/2006/main" count="109" uniqueCount="37">
  <si>
    <t>ORDER_ID</t>
  </si>
  <si>
    <t>DATE</t>
  </si>
  <si>
    <t>EMPLOYEE</t>
  </si>
  <si>
    <t>REGION</t>
  </si>
  <si>
    <t>PRODUCT</t>
  </si>
  <si>
    <t>UNITS_SOLD</t>
  </si>
  <si>
    <t>UNIT_PRICE</t>
  </si>
  <si>
    <t>SALES</t>
  </si>
  <si>
    <t>O1001</t>
  </si>
  <si>
    <t>O1002</t>
  </si>
  <si>
    <t>O1003</t>
  </si>
  <si>
    <t>O1004</t>
  </si>
  <si>
    <t>O1005</t>
  </si>
  <si>
    <t>O1006</t>
  </si>
  <si>
    <t>O1007</t>
  </si>
  <si>
    <t>O1008</t>
  </si>
  <si>
    <t>O1009</t>
  </si>
  <si>
    <t>O1010</t>
  </si>
  <si>
    <t>O1011</t>
  </si>
  <si>
    <t>O1012</t>
  </si>
  <si>
    <t>Amit</t>
  </si>
  <si>
    <t>Ravi</t>
  </si>
  <si>
    <t>Priya</t>
  </si>
  <si>
    <t>Neha</t>
  </si>
  <si>
    <t>North</t>
  </si>
  <si>
    <t>South</t>
  </si>
  <si>
    <t>West</t>
  </si>
  <si>
    <t>Laptop</t>
  </si>
  <si>
    <t>Mobile</t>
  </si>
  <si>
    <t>Row Labels</t>
  </si>
  <si>
    <t>Grand Total</t>
  </si>
  <si>
    <t>Sum of SALES</t>
  </si>
  <si>
    <t>Column Labels</t>
  </si>
  <si>
    <t>Sum of UNITS_SOLD</t>
  </si>
  <si>
    <t>Values</t>
  </si>
  <si>
    <t>Total Sum of UNITS_SOLD</t>
  </si>
  <si>
    <t>Total Sum of SALES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</si>
</sst>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0" fillId="0" borderId="1" xfId="0" applyBorder="1"/>
    <xf numFmtId="14" fontId="0" fillId="0" borderId="1" xfId="0" applyNumberFormat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2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[SALES PERFORMANCEANALYSIS DASHBOARD--EXCEL.xlsx]Sheet1!PivotTable1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TOP PERFORMER</a:t>
            </a:r>
          </a:p>
        </c:rich>
      </c:tx>
      <c:layout/>
    </c:title>
    <c:pivotFmts>
      <c:pivotFmt>
        <c:idx val="0"/>
        <c:marker>
          <c:symbol val="none"/>
        </c:marker>
        <c:dLbl>
          <c:idx val="0"/>
          <c:layout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Val val="1"/>
        </c:dLbl>
      </c:pivotFmt>
      <c:pivotFmt>
        <c:idx val="1"/>
        <c:dLbl>
          <c:idx val="0"/>
          <c:layout>
            <c:manualLayout>
              <c:x val="8.3333333333333332E-3"/>
              <c:y val="-0.33333333333333331"/>
            </c:manualLayout>
          </c:layout>
          <c:showVal val="1"/>
        </c:dLbl>
      </c:pivotFmt>
      <c:pivotFmt>
        <c:idx val="2"/>
        <c:dLbl>
          <c:idx val="0"/>
          <c:layout>
            <c:manualLayout>
              <c:x val="0"/>
              <c:y val="-0.29166666666666663"/>
            </c:manualLayout>
          </c:layout>
          <c:showVal val="1"/>
        </c:dLbl>
      </c:pivotFmt>
      <c:pivotFmt>
        <c:idx val="3"/>
        <c:dLbl>
          <c:idx val="0"/>
          <c:layout>
            <c:manualLayout>
              <c:x val="-8.3333333333333332E-3"/>
              <c:y val="-0.29166666666666669"/>
            </c:manualLayout>
          </c:layout>
          <c:showVal val="1"/>
        </c:dLbl>
      </c:pivotFmt>
      <c:pivotFmt>
        <c:idx val="4"/>
        <c:dLbl>
          <c:idx val="0"/>
          <c:layout>
            <c:manualLayout>
              <c:x val="-8.3333333333333332E-3"/>
              <c:y val="-0.25462962962962965"/>
            </c:manualLayout>
          </c:layout>
          <c:showVal val="1"/>
        </c:dLbl>
      </c:pivotFmt>
    </c:pivotFmts>
    <c:plotArea>
      <c:layout/>
      <c:barChart>
        <c:barDir val="col"/>
        <c:grouping val="stacked"/>
        <c:ser>
          <c:idx val="0"/>
          <c:order val="0"/>
          <c:tx>
            <c:strRef>
              <c:f>Sheet1!$K$1</c:f>
              <c:strCache>
                <c:ptCount val="1"/>
                <c:pt idx="0">
                  <c:v>Total</c:v>
                </c:pt>
              </c:strCache>
            </c:strRef>
          </c:tx>
          <c:dLbls>
            <c:dLbl>
              <c:idx val="0"/>
              <c:layout>
                <c:manualLayout>
                  <c:x val="8.3333333333333332E-3"/>
                  <c:y val="-0.33333333333333331"/>
                </c:manualLayout>
              </c:layout>
              <c:showVal val="1"/>
            </c:dLbl>
            <c:dLbl>
              <c:idx val="1"/>
              <c:layout>
                <c:manualLayout>
                  <c:x val="0"/>
                  <c:y val="-0.29166666666666663"/>
                </c:manualLayout>
              </c:layout>
              <c:showVal val="1"/>
            </c:dLbl>
            <c:dLbl>
              <c:idx val="2"/>
              <c:layout>
                <c:manualLayout>
                  <c:x val="-8.3333333333333332E-3"/>
                  <c:y val="-0.29166666666666669"/>
                </c:manualLayout>
              </c:layout>
              <c:showVal val="1"/>
            </c:dLbl>
            <c:dLbl>
              <c:idx val="3"/>
              <c:layout>
                <c:manualLayout>
                  <c:x val="-8.3333333333333332E-3"/>
                  <c:y val="-0.25462962962962965"/>
                </c:manualLayout>
              </c:layout>
              <c:showVal val="1"/>
            </c:dLbl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showVal val="1"/>
          </c:dLbls>
          <c:cat>
            <c:strRef>
              <c:f>Sheet1!$J$2:$J$6</c:f>
              <c:strCache>
                <c:ptCount val="4"/>
                <c:pt idx="0">
                  <c:v>Amit</c:v>
                </c:pt>
                <c:pt idx="1">
                  <c:v>Neha</c:v>
                </c:pt>
                <c:pt idx="2">
                  <c:v>Priya</c:v>
                </c:pt>
                <c:pt idx="3">
                  <c:v>Ravi</c:v>
                </c:pt>
              </c:strCache>
            </c:strRef>
          </c:cat>
          <c:val>
            <c:numRef>
              <c:f>Sheet1!$K$2:$K$6</c:f>
              <c:numCache>
                <c:formatCode>General</c:formatCode>
                <c:ptCount val="4"/>
                <c:pt idx="0">
                  <c:v>450000</c:v>
                </c:pt>
                <c:pt idx="1">
                  <c:v>390000</c:v>
                </c:pt>
                <c:pt idx="2">
                  <c:v>380000</c:v>
                </c:pt>
                <c:pt idx="3">
                  <c:v>330000</c:v>
                </c:pt>
              </c:numCache>
            </c:numRef>
          </c:val>
        </c:ser>
        <c:overlap val="100"/>
        <c:axId val="174211840"/>
        <c:axId val="174213376"/>
      </c:barChart>
      <c:catAx>
        <c:axId val="174211840"/>
        <c:scaling>
          <c:orientation val="minMax"/>
        </c:scaling>
        <c:axPos val="b"/>
        <c:tickLblPos val="nextTo"/>
        <c:crossAx val="174213376"/>
        <c:crosses val="autoZero"/>
        <c:auto val="1"/>
        <c:lblAlgn val="ctr"/>
        <c:lblOffset val="100"/>
      </c:catAx>
      <c:valAx>
        <c:axId val="174213376"/>
        <c:scaling>
          <c:orientation val="minMax"/>
        </c:scaling>
        <c:axPos val="l"/>
        <c:majorGridlines/>
        <c:numFmt formatCode="General" sourceLinked="1"/>
        <c:tickLblPos val="nextTo"/>
        <c:crossAx val="174211840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[SALES PERFORMANCEANALYSIS DASHBOARD--EXCEL.xlsx]Sheet1!PivotTable3</c:name>
    <c:fmtId val="1"/>
  </c:pivotSource>
  <c:chart>
    <c:pivotFmts>
      <c:pivotFmt>
        <c:idx val="0"/>
        <c:marker>
          <c:symbol val="none"/>
        </c:marker>
        <c:dLbl>
          <c:idx val="0"/>
          <c:layout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Val val="1"/>
        </c:dLbl>
      </c:pivotFmt>
      <c:pivotFmt>
        <c:idx val="1"/>
        <c:marker>
          <c:symbol val="none"/>
        </c:marker>
        <c:dLbl>
          <c:idx val="0"/>
          <c:layout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Val val="1"/>
        </c:dLbl>
      </c:pivotFmt>
      <c:pivotFmt>
        <c:idx val="2"/>
        <c:marker>
          <c:symbol val="none"/>
        </c:marker>
        <c:dLbl>
          <c:idx val="0"/>
          <c:layout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Val val="1"/>
        </c:dLbl>
      </c:pivotFmt>
    </c:pivotFmts>
    <c:plotArea>
      <c:layout/>
      <c:barChart>
        <c:barDir val="col"/>
        <c:grouping val="clustered"/>
        <c:ser>
          <c:idx val="0"/>
          <c:order val="0"/>
          <c:tx>
            <c:strRef>
              <c:f>Sheet1!$B$16:$B$17</c:f>
              <c:strCache>
                <c:ptCount val="1"/>
                <c:pt idx="0">
                  <c:v>North</c:v>
                </c:pt>
              </c:strCache>
            </c:strRef>
          </c:tx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showVal val="1"/>
          </c:dLbls>
          <c:cat>
            <c:strRef>
              <c:f>Sheet1!$A$18:$A$20</c:f>
              <c:strCache>
                <c:ptCount val="2"/>
                <c:pt idx="0">
                  <c:v>Laptop</c:v>
                </c:pt>
                <c:pt idx="1">
                  <c:v>Mobile</c:v>
                </c:pt>
              </c:strCache>
            </c:strRef>
          </c:cat>
          <c:val>
            <c:numRef>
              <c:f>Sheet1!$B$18:$B$20</c:f>
              <c:numCache>
                <c:formatCode>General</c:formatCode>
                <c:ptCount val="2"/>
                <c:pt idx="0">
                  <c:v>450000</c:v>
                </c:pt>
                <c:pt idx="1">
                  <c:v>380000</c:v>
                </c:pt>
              </c:numCache>
            </c:numRef>
          </c:val>
        </c:ser>
        <c:ser>
          <c:idx val="1"/>
          <c:order val="1"/>
          <c:tx>
            <c:strRef>
              <c:f>Sheet1!$C$16:$C$17</c:f>
              <c:strCache>
                <c:ptCount val="1"/>
                <c:pt idx="0">
                  <c:v>South</c:v>
                </c:pt>
              </c:strCache>
            </c:strRef>
          </c:tx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showVal val="1"/>
          </c:dLbls>
          <c:cat>
            <c:strRef>
              <c:f>Sheet1!$A$18:$A$20</c:f>
              <c:strCache>
                <c:ptCount val="2"/>
                <c:pt idx="0">
                  <c:v>Laptop</c:v>
                </c:pt>
                <c:pt idx="1">
                  <c:v>Mobile</c:v>
                </c:pt>
              </c:strCache>
            </c:strRef>
          </c:cat>
          <c:val>
            <c:numRef>
              <c:f>Sheet1!$C$18:$C$20</c:f>
              <c:numCache>
                <c:formatCode>General</c:formatCode>
                <c:ptCount val="2"/>
                <c:pt idx="0">
                  <c:v>50000</c:v>
                </c:pt>
                <c:pt idx="1">
                  <c:v>280000</c:v>
                </c:pt>
              </c:numCache>
            </c:numRef>
          </c:val>
        </c:ser>
        <c:ser>
          <c:idx val="2"/>
          <c:order val="2"/>
          <c:tx>
            <c:strRef>
              <c:f>Sheet1!$D$16:$D$17</c:f>
              <c:strCache>
                <c:ptCount val="1"/>
                <c:pt idx="0">
                  <c:v>West</c:v>
                </c:pt>
              </c:strCache>
            </c:strRef>
          </c:tx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showVal val="1"/>
          </c:dLbls>
          <c:cat>
            <c:strRef>
              <c:f>Sheet1!$A$18:$A$20</c:f>
              <c:strCache>
                <c:ptCount val="2"/>
                <c:pt idx="0">
                  <c:v>Laptop</c:v>
                </c:pt>
                <c:pt idx="1">
                  <c:v>Mobile</c:v>
                </c:pt>
              </c:strCache>
            </c:strRef>
          </c:cat>
          <c:val>
            <c:numRef>
              <c:f>Sheet1!$D$18:$D$20</c:f>
              <c:numCache>
                <c:formatCode>General</c:formatCode>
                <c:ptCount val="2"/>
                <c:pt idx="0">
                  <c:v>250000</c:v>
                </c:pt>
                <c:pt idx="1">
                  <c:v>140000</c:v>
                </c:pt>
              </c:numCache>
            </c:numRef>
          </c:val>
        </c:ser>
        <c:axId val="139760768"/>
        <c:axId val="173856256"/>
      </c:barChart>
      <c:catAx>
        <c:axId val="139760768"/>
        <c:scaling>
          <c:orientation val="minMax"/>
        </c:scaling>
        <c:axPos val="b"/>
        <c:tickLblPos val="nextTo"/>
        <c:crossAx val="173856256"/>
        <c:crosses val="autoZero"/>
        <c:auto val="1"/>
        <c:lblAlgn val="ctr"/>
        <c:lblOffset val="100"/>
      </c:catAx>
      <c:valAx>
        <c:axId val="173856256"/>
        <c:scaling>
          <c:orientation val="minMax"/>
        </c:scaling>
        <c:axPos val="l"/>
        <c:majorGridlines/>
        <c:numFmt formatCode="General" sourceLinked="1"/>
        <c:tickLblPos val="nextTo"/>
        <c:crossAx val="139760768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[SALES PERFORMANCEANALYSIS DASHBOARD--EXCEL.xlsx]Sheet1!PivotTable4</c:name>
    <c:fmtId val="0"/>
  </c:pivotSource>
  <c:chart>
    <c:pivotFmts>
      <c:pivotFmt>
        <c:idx val="0"/>
        <c:marker>
          <c:symbol val="none"/>
        </c:marker>
        <c:dLbl>
          <c:idx val="0"/>
          <c:layout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Val val="1"/>
        </c:dLbl>
      </c:pivotFmt>
      <c:pivotFmt>
        <c:idx val="1"/>
        <c:marker>
          <c:symbol val="none"/>
        </c:marker>
        <c:dLbl>
          <c:idx val="0"/>
          <c:layout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Val val="1"/>
        </c:dLbl>
      </c:pivotFmt>
    </c:pivotFmts>
    <c:plotArea>
      <c:layout/>
      <c:barChart>
        <c:barDir val="col"/>
        <c:grouping val="clustered"/>
        <c:ser>
          <c:idx val="0"/>
          <c:order val="0"/>
          <c:tx>
            <c:strRef>
              <c:f>Sheet1!$B$38:$B$39</c:f>
              <c:strCache>
                <c:ptCount val="1"/>
                <c:pt idx="0">
                  <c:v>Laptop</c:v>
                </c:pt>
              </c:strCache>
            </c:strRef>
          </c:tx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showVal val="1"/>
          </c:dLbls>
          <c:cat>
            <c:strRef>
              <c:f>Sheet1!$A$40:$A$44</c:f>
              <c:strCache>
                <c:ptCount val="4"/>
                <c:pt idx="0">
                  <c:v>Amit</c:v>
                </c:pt>
                <c:pt idx="1">
                  <c:v>Neha</c:v>
                </c:pt>
                <c:pt idx="2">
                  <c:v>Priya</c:v>
                </c:pt>
                <c:pt idx="3">
                  <c:v>Ravi</c:v>
                </c:pt>
              </c:strCache>
            </c:strRef>
          </c:cat>
          <c:val>
            <c:numRef>
              <c:f>Sheet1!$B$40:$B$44</c:f>
              <c:numCache>
                <c:formatCode>General</c:formatCode>
                <c:ptCount val="4"/>
                <c:pt idx="0">
                  <c:v>250000</c:v>
                </c:pt>
                <c:pt idx="1">
                  <c:v>250000</c:v>
                </c:pt>
                <c:pt idx="2">
                  <c:v>200000</c:v>
                </c:pt>
                <c:pt idx="3">
                  <c:v>50000</c:v>
                </c:pt>
              </c:numCache>
            </c:numRef>
          </c:val>
        </c:ser>
        <c:ser>
          <c:idx val="1"/>
          <c:order val="1"/>
          <c:tx>
            <c:strRef>
              <c:f>Sheet1!$C$38:$C$39</c:f>
              <c:strCache>
                <c:ptCount val="1"/>
                <c:pt idx="0">
                  <c:v>Mobile</c:v>
                </c:pt>
              </c:strCache>
            </c:strRef>
          </c:tx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showVal val="1"/>
          </c:dLbls>
          <c:cat>
            <c:strRef>
              <c:f>Sheet1!$A$40:$A$44</c:f>
              <c:strCache>
                <c:ptCount val="4"/>
                <c:pt idx="0">
                  <c:v>Amit</c:v>
                </c:pt>
                <c:pt idx="1">
                  <c:v>Neha</c:v>
                </c:pt>
                <c:pt idx="2">
                  <c:v>Priya</c:v>
                </c:pt>
                <c:pt idx="3">
                  <c:v>Ravi</c:v>
                </c:pt>
              </c:strCache>
            </c:strRef>
          </c:cat>
          <c:val>
            <c:numRef>
              <c:f>Sheet1!$C$40:$C$44</c:f>
              <c:numCache>
                <c:formatCode>General</c:formatCode>
                <c:ptCount val="4"/>
                <c:pt idx="0">
                  <c:v>200000</c:v>
                </c:pt>
                <c:pt idx="1">
                  <c:v>140000</c:v>
                </c:pt>
                <c:pt idx="2">
                  <c:v>180000</c:v>
                </c:pt>
                <c:pt idx="3">
                  <c:v>280000</c:v>
                </c:pt>
              </c:numCache>
            </c:numRef>
          </c:val>
        </c:ser>
        <c:axId val="135932928"/>
        <c:axId val="136524928"/>
      </c:barChart>
      <c:catAx>
        <c:axId val="135932928"/>
        <c:scaling>
          <c:orientation val="minMax"/>
        </c:scaling>
        <c:axPos val="b"/>
        <c:tickLblPos val="nextTo"/>
        <c:crossAx val="136524928"/>
        <c:crosses val="autoZero"/>
        <c:auto val="1"/>
        <c:lblAlgn val="ctr"/>
        <c:lblOffset val="100"/>
      </c:catAx>
      <c:valAx>
        <c:axId val="136524928"/>
        <c:scaling>
          <c:orientation val="minMax"/>
        </c:scaling>
        <c:axPos val="l"/>
        <c:majorGridlines/>
        <c:numFmt formatCode="General" sourceLinked="1"/>
        <c:tickLblPos val="nextTo"/>
        <c:crossAx val="135932928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304800</xdr:colOff>
      <xdr:row>6</xdr:row>
      <xdr:rowOff>133350</xdr:rowOff>
    </xdr:from>
    <xdr:to>
      <xdr:col>15</xdr:col>
      <xdr:colOff>104775</xdr:colOff>
      <xdr:row>21</xdr:row>
      <xdr:rowOff>19050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19050</xdr:colOff>
      <xdr:row>20</xdr:row>
      <xdr:rowOff>161925</xdr:rowOff>
    </xdr:from>
    <xdr:to>
      <xdr:col>6</xdr:col>
      <xdr:colOff>142875</xdr:colOff>
      <xdr:row>34</xdr:row>
      <xdr:rowOff>180975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19050</xdr:colOff>
      <xdr:row>45</xdr:row>
      <xdr:rowOff>0</xdr:rowOff>
    </xdr:from>
    <xdr:to>
      <xdr:col>5</xdr:col>
      <xdr:colOff>628650</xdr:colOff>
      <xdr:row>59</xdr:row>
      <xdr:rowOff>76200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dmin" refreshedDate="46257.543237500002" createdVersion="3" refreshedVersion="3" minRefreshableVersion="3" recordCount="13">
  <cacheSource type="worksheet">
    <worksheetSource ref="A1:H1048576" sheet="Sheet1"/>
  </cacheSource>
  <cacheFields count="8">
    <cacheField name="ORDER_ID" numFmtId="0">
      <sharedItems containsBlank="1"/>
    </cacheField>
    <cacheField name="DATE" numFmtId="0">
      <sharedItems containsNonDate="0" containsDate="1" containsString="0" containsBlank="1" minDate="2026-01-07T00:00:00" maxDate="2026-06-08T00:00:00"/>
    </cacheField>
    <cacheField name="EMPLOYEE" numFmtId="0">
      <sharedItems containsBlank="1" count="5">
        <s v="Amit"/>
        <s v="Ravi"/>
        <s v="Priya"/>
        <s v="Neha"/>
        <m/>
      </sharedItems>
    </cacheField>
    <cacheField name="REGION" numFmtId="0">
      <sharedItems containsBlank="1"/>
    </cacheField>
    <cacheField name="PRODUCT" numFmtId="0">
      <sharedItems containsBlank="1"/>
    </cacheField>
    <cacheField name="UNITS_SOLD" numFmtId="0">
      <sharedItems containsString="0" containsBlank="1" containsNumber="1" containsInteger="1" minValue="1" maxValue="10"/>
    </cacheField>
    <cacheField name="UNIT_PRICE" numFmtId="0">
      <sharedItems containsString="0" containsBlank="1" containsNumber="1" containsInteger="1" minValue="20000" maxValue="50000"/>
    </cacheField>
    <cacheField name="SALES" numFmtId="0">
      <sharedItems containsString="0" containsBlank="1" containsNumber="1" containsInteger="1" minValue="50000" maxValue="200000" count="9">
        <n v="150000"/>
        <n v="160000"/>
        <n v="100000"/>
        <n v="200000"/>
        <n v="50000"/>
        <n v="140000"/>
        <n v="120000"/>
        <n v="80000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Admin" refreshedDate="46257.553627546295" createdVersion="3" refreshedVersion="3" minRefreshableVersion="3" recordCount="12">
  <cacheSource type="worksheet">
    <worksheetSource ref="A1:H13" sheet="Sheet1"/>
  </cacheSource>
  <cacheFields count="8">
    <cacheField name="ORDER_ID" numFmtId="0">
      <sharedItems/>
    </cacheField>
    <cacheField name="DATE" numFmtId="14">
      <sharedItems containsSemiMixedTypes="0" containsNonDate="0" containsDate="1" containsString="0" minDate="2026-01-07T00:00:00" maxDate="2026-06-08T00:00:00" count="6">
        <d v="2026-01-07T00:00:00"/>
        <d v="2026-02-07T00:00:00"/>
        <d v="2026-03-07T00:00:00"/>
        <d v="2026-04-07T00:00:00"/>
        <d v="2026-05-07T00:00:00"/>
        <d v="2026-06-07T00:00:00"/>
      </sharedItems>
    </cacheField>
    <cacheField name="EMPLOYEE" numFmtId="0">
      <sharedItems count="4">
        <s v="Amit"/>
        <s v="Ravi"/>
        <s v="Priya"/>
        <s v="Neha"/>
      </sharedItems>
    </cacheField>
    <cacheField name="REGION" numFmtId="0">
      <sharedItems count="3">
        <s v="North"/>
        <s v="South"/>
        <s v="West"/>
      </sharedItems>
    </cacheField>
    <cacheField name="PRODUCT" numFmtId="0">
      <sharedItems count="2">
        <s v="Laptop"/>
        <s v="Mobile"/>
      </sharedItems>
    </cacheField>
    <cacheField name="UNITS_SOLD" numFmtId="0">
      <sharedItems containsSemiMixedTypes="0" containsString="0" containsNumber="1" containsInteger="1" minValue="1" maxValue="10"/>
    </cacheField>
    <cacheField name="UNIT_PRICE" numFmtId="0">
      <sharedItems containsSemiMixedTypes="0" containsString="0" containsNumber="1" containsInteger="1" minValue="20000" maxValue="50000"/>
    </cacheField>
    <cacheField name="SALES" numFmtId="0">
      <sharedItems containsSemiMixedTypes="0" containsString="0" containsNumber="1" containsInteger="1" minValue="50000" maxValue="200000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3">
  <r>
    <s v="O1001"/>
    <d v="2026-01-07T00:00:00"/>
    <x v="0"/>
    <s v="North"/>
    <s v="Laptop"/>
    <n v="3"/>
    <n v="50000"/>
    <x v="0"/>
  </r>
  <r>
    <s v="O1002"/>
    <d v="2026-01-07T00:00:00"/>
    <x v="1"/>
    <s v="South"/>
    <s v="Mobile"/>
    <n v="8"/>
    <n v="20000"/>
    <x v="1"/>
  </r>
  <r>
    <s v="O1003"/>
    <d v="2026-02-07T00:00:00"/>
    <x v="2"/>
    <s v="North"/>
    <s v="Mobile"/>
    <n v="5"/>
    <n v="20000"/>
    <x v="2"/>
  </r>
  <r>
    <s v="O1004"/>
    <d v="2026-02-07T00:00:00"/>
    <x v="3"/>
    <s v="West"/>
    <s v="Laptop"/>
    <n v="2"/>
    <n v="50000"/>
    <x v="2"/>
  </r>
  <r>
    <s v="O1005"/>
    <d v="2026-03-07T00:00:00"/>
    <x v="0"/>
    <s v="North"/>
    <s v="Mobile"/>
    <n v="10"/>
    <n v="20000"/>
    <x v="3"/>
  </r>
  <r>
    <s v="O1006"/>
    <d v="2026-03-07T00:00:00"/>
    <x v="1"/>
    <s v="South"/>
    <s v="Laptop"/>
    <n v="1"/>
    <n v="50000"/>
    <x v="4"/>
  </r>
  <r>
    <s v="O1007"/>
    <d v="2026-04-07T00:00:00"/>
    <x v="2"/>
    <s v="North"/>
    <s v="Laptop"/>
    <n v="4"/>
    <n v="50000"/>
    <x v="3"/>
  </r>
  <r>
    <s v="O1008"/>
    <d v="2026-04-07T00:00:00"/>
    <x v="3"/>
    <s v="West"/>
    <s v="Mobile"/>
    <n v="7"/>
    <n v="20000"/>
    <x v="5"/>
  </r>
  <r>
    <s v="O1009"/>
    <d v="2026-05-07T00:00:00"/>
    <x v="0"/>
    <s v="North"/>
    <s v="Laptop"/>
    <n v="2"/>
    <n v="50000"/>
    <x v="2"/>
  </r>
  <r>
    <s v="O1010"/>
    <d v="2026-05-07T00:00:00"/>
    <x v="1"/>
    <s v="South"/>
    <s v="Mobile"/>
    <n v="6"/>
    <n v="20000"/>
    <x v="6"/>
  </r>
  <r>
    <s v="O1011"/>
    <d v="2026-06-07T00:00:00"/>
    <x v="2"/>
    <s v="North"/>
    <s v="Mobile"/>
    <n v="4"/>
    <n v="20000"/>
    <x v="7"/>
  </r>
  <r>
    <s v="O1012"/>
    <d v="2026-06-07T00:00:00"/>
    <x v="3"/>
    <s v="West"/>
    <s v="Laptop"/>
    <n v="3"/>
    <n v="50000"/>
    <x v="0"/>
  </r>
  <r>
    <m/>
    <m/>
    <x v="4"/>
    <m/>
    <m/>
    <m/>
    <m/>
    <x v="8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12">
  <r>
    <s v="O1001"/>
    <x v="0"/>
    <x v="0"/>
    <x v="0"/>
    <x v="0"/>
    <n v="3"/>
    <n v="50000"/>
    <n v="150000"/>
  </r>
  <r>
    <s v="O1002"/>
    <x v="0"/>
    <x v="1"/>
    <x v="1"/>
    <x v="1"/>
    <n v="8"/>
    <n v="20000"/>
    <n v="160000"/>
  </r>
  <r>
    <s v="O1003"/>
    <x v="1"/>
    <x v="2"/>
    <x v="0"/>
    <x v="1"/>
    <n v="5"/>
    <n v="20000"/>
    <n v="100000"/>
  </r>
  <r>
    <s v="O1004"/>
    <x v="1"/>
    <x v="3"/>
    <x v="2"/>
    <x v="0"/>
    <n v="2"/>
    <n v="50000"/>
    <n v="100000"/>
  </r>
  <r>
    <s v="O1005"/>
    <x v="2"/>
    <x v="0"/>
    <x v="0"/>
    <x v="1"/>
    <n v="10"/>
    <n v="20000"/>
    <n v="200000"/>
  </r>
  <r>
    <s v="O1006"/>
    <x v="2"/>
    <x v="1"/>
    <x v="1"/>
    <x v="0"/>
    <n v="1"/>
    <n v="50000"/>
    <n v="50000"/>
  </r>
  <r>
    <s v="O1007"/>
    <x v="3"/>
    <x v="2"/>
    <x v="0"/>
    <x v="0"/>
    <n v="4"/>
    <n v="50000"/>
    <n v="200000"/>
  </r>
  <r>
    <s v="O1008"/>
    <x v="3"/>
    <x v="3"/>
    <x v="2"/>
    <x v="1"/>
    <n v="7"/>
    <n v="20000"/>
    <n v="140000"/>
  </r>
  <r>
    <s v="O1009"/>
    <x v="4"/>
    <x v="0"/>
    <x v="0"/>
    <x v="0"/>
    <n v="2"/>
    <n v="50000"/>
    <n v="100000"/>
  </r>
  <r>
    <s v="O1010"/>
    <x v="4"/>
    <x v="1"/>
    <x v="1"/>
    <x v="1"/>
    <n v="6"/>
    <n v="20000"/>
    <n v="120000"/>
  </r>
  <r>
    <s v="O1011"/>
    <x v="5"/>
    <x v="2"/>
    <x v="0"/>
    <x v="1"/>
    <n v="4"/>
    <n v="20000"/>
    <n v="80000"/>
  </r>
  <r>
    <s v="O1012"/>
    <x v="5"/>
    <x v="3"/>
    <x v="2"/>
    <x v="0"/>
    <n v="3"/>
    <n v="50000"/>
    <n v="150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7" cacheId="17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>
  <location ref="I47:O53" firstHeaderRow="1" firstDataRow="3" firstDataCol="1"/>
  <pivotFields count="8">
    <pivotField showAll="0"/>
    <pivotField axis="axisRow" numFmtId="14" showAll="0">
      <items count="7">
        <item h="1" x="0"/>
        <item h="1" x="1"/>
        <item x="2"/>
        <item x="3"/>
        <item h="1" x="4"/>
        <item x="5"/>
        <item t="default"/>
      </items>
    </pivotField>
    <pivotField showAll="0"/>
    <pivotField showAll="0"/>
    <pivotField axis="axisCol" showAll="0">
      <items count="3">
        <item x="0"/>
        <item x="1"/>
        <item t="default"/>
      </items>
    </pivotField>
    <pivotField dataField="1" showAll="0"/>
    <pivotField showAll="0"/>
    <pivotField dataField="1" showAll="0"/>
  </pivotFields>
  <rowFields count="1">
    <field x="1"/>
  </rowFields>
  <rowItems count="4">
    <i>
      <x v="2"/>
    </i>
    <i>
      <x v="3"/>
    </i>
    <i>
      <x v="5"/>
    </i>
    <i t="grand">
      <x/>
    </i>
  </rowItems>
  <colFields count="2">
    <field x="4"/>
    <field x="-2"/>
  </colFields>
  <colItems count="6">
    <i>
      <x/>
      <x/>
    </i>
    <i r="1" i="1">
      <x v="1"/>
    </i>
    <i>
      <x v="1"/>
      <x/>
    </i>
    <i r="1" i="1">
      <x v="1"/>
    </i>
    <i t="grand">
      <x/>
    </i>
    <i t="grand" i="1">
      <x/>
    </i>
  </colItems>
  <dataFields count="2">
    <dataField name="Sum of UNITS_SOLD" fld="5" baseField="0" baseItem="0"/>
    <dataField name="Sum of SALES" fld="7" baseField="0" baseItem="0"/>
  </dataField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PivotTable6" cacheId="17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>
  <location ref="I33:K41" firstHeaderRow="1" firstDataRow="2" firstDataCol="1"/>
  <pivotFields count="8">
    <pivotField showAll="0"/>
    <pivotField axis="axisRow" numFmtId="14"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showAll="0"/>
    <pivotField dataField="1" showAll="0"/>
    <pivotField showAll="0"/>
    <pivotField dataField="1" showAll="0"/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UNITS_SOLD" fld="5" baseField="0" baseItem="0"/>
    <dataField name="Sum of SALES" fld="7" baseField="0" baseItem="0"/>
  </dataFields>
  <pivotTableStyleInfo name="PivotStyleLight16" showRowHeaders="1" showColHeaders="1" showRowStripes="0" showColStripes="0" showLastColumn="1"/>
</pivotTableDefinition>
</file>

<file path=xl/pivotTables/pivotTable3.xml><?xml version="1.0" encoding="utf-8"?>
<pivotTableDefinition xmlns="http://schemas.openxmlformats.org/spreadsheetml/2006/main" name="PivotTable5" cacheId="17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1">
  <location ref="I24:K30" firstHeaderRow="1" firstDataRow="2" firstDataCol="1"/>
  <pivotFields count="8">
    <pivotField showAll="0"/>
    <pivotField numFmtId="14" showAll="0"/>
    <pivotField axis="axisRow" showAll="0">
      <items count="5">
        <item x="0"/>
        <item x="3"/>
        <item x="2"/>
        <item x="1"/>
        <item t="default"/>
      </items>
    </pivotField>
    <pivotField showAll="0"/>
    <pivotField showAll="0"/>
    <pivotField dataField="1" showAll="0"/>
    <pivotField showAll="0"/>
    <pivotField dataField="1"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UNITS_SOLD" fld="5" baseField="0" baseItem="0"/>
    <dataField name="Sum of SALES" fld="7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4.xml><?xml version="1.0" encoding="utf-8"?>
<pivotTableDefinition xmlns="http://schemas.openxmlformats.org/spreadsheetml/2006/main" name="PivotTable4" cacheId="17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1">
  <location ref="A38:D44" firstHeaderRow="1" firstDataRow="2" firstDataCol="1"/>
  <pivotFields count="8">
    <pivotField showAll="0"/>
    <pivotField numFmtId="14" showAll="0"/>
    <pivotField axis="axisRow" showAll="0">
      <items count="5">
        <item x="0"/>
        <item x="3"/>
        <item x="2"/>
        <item x="1"/>
        <item t="default"/>
      </items>
    </pivotField>
    <pivotField showAll="0"/>
    <pivotField axis="axisCol" showAll="0">
      <items count="3">
        <item x="0"/>
        <item x="1"/>
        <item t="default"/>
      </items>
    </pivotField>
    <pivotField showAll="0"/>
    <pivotField showAll="0"/>
    <pivotField dataField="1"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Fields count="1">
    <field x="4"/>
  </colFields>
  <colItems count="3">
    <i>
      <x/>
    </i>
    <i>
      <x v="1"/>
    </i>
    <i t="grand">
      <x/>
    </i>
  </colItems>
  <dataFields count="1">
    <dataField name="Sum of SALES" fld="7" baseField="0" baseItem="0"/>
  </dataField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5.xml><?xml version="1.0" encoding="utf-8"?>
<pivotTableDefinition xmlns="http://schemas.openxmlformats.org/spreadsheetml/2006/main" name="PivotTable3" cacheId="17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2">
  <location ref="A16:E20" firstHeaderRow="1" firstDataRow="2" firstDataCol="1"/>
  <pivotFields count="8">
    <pivotField showAll="0"/>
    <pivotField numFmtId="14" showAll="0"/>
    <pivotField showAll="0"/>
    <pivotField axis="axisCol" showAll="0">
      <items count="4">
        <item x="0"/>
        <item x="1"/>
        <item x="2"/>
        <item t="default"/>
      </items>
    </pivotField>
    <pivotField axis="axisRow" showAll="0">
      <items count="3">
        <item x="0"/>
        <item x="1"/>
        <item t="default"/>
      </items>
    </pivotField>
    <pivotField showAll="0"/>
    <pivotField showAll="0"/>
    <pivotField dataField="1" showAll="0"/>
  </pivotFields>
  <rowFields count="1">
    <field x="4"/>
  </rowFields>
  <rowItems count="3">
    <i>
      <x/>
    </i>
    <i>
      <x v="1"/>
    </i>
    <i t="grand">
      <x/>
    </i>
  </rowItems>
  <colFields count="1">
    <field x="3"/>
  </colFields>
  <colItems count="4">
    <i>
      <x/>
    </i>
    <i>
      <x v="1"/>
    </i>
    <i>
      <x v="2"/>
    </i>
    <i t="grand">
      <x/>
    </i>
  </colItems>
  <dataFields count="1">
    <dataField name="Sum of SALES" fld="7" baseField="0" baseItem="0"/>
  </dataFields>
  <chartFormats count="3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6.xml><?xml version="1.0" encoding="utf-8"?>
<pivotTableDefinition xmlns="http://schemas.openxmlformats.org/spreadsheetml/2006/main" name="PivotTable1" cacheId="3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1">
  <location ref="J1:K6" firstHeaderRow="1" firstDataRow="1" firstDataCol="1"/>
  <pivotFields count="8">
    <pivotField showAll="0"/>
    <pivotField showAll="0"/>
    <pivotField axis="axisRow" showAll="0">
      <items count="6">
        <item x="0"/>
        <item x="3"/>
        <item x="2"/>
        <item x="1"/>
        <item h="1" x="4"/>
        <item t="default"/>
      </items>
    </pivotField>
    <pivotField showAll="0"/>
    <pivotField showAll="0"/>
    <pivotField showAll="0"/>
    <pivotField showAll="0"/>
    <pivotField dataField="1" showAll="0">
      <items count="10">
        <item x="4"/>
        <item x="7"/>
        <item x="2"/>
        <item x="6"/>
        <item x="5"/>
        <item x="0"/>
        <item x="1"/>
        <item x="3"/>
        <item x="8"/>
        <item t="default"/>
      </items>
    </pivotField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7" baseField="0" baseItem="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1.xml"/><Relationship Id="rId3" Type="http://schemas.openxmlformats.org/officeDocument/2006/relationships/pivotTable" Target="../pivotTables/pivotTable3.xml"/><Relationship Id="rId7" Type="http://schemas.openxmlformats.org/officeDocument/2006/relationships/printerSettings" Target="../printerSettings/printerSettings1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53"/>
  <sheetViews>
    <sheetView tabSelected="1" topLeftCell="D36" workbookViewId="0">
      <selection activeCell="P57" sqref="P57"/>
    </sheetView>
  </sheetViews>
  <sheetFormatPr defaultRowHeight="15"/>
  <cols>
    <col min="1" max="1" width="13.140625" bestFit="1" customWidth="1"/>
    <col min="2" max="2" width="16.28515625" bestFit="1" customWidth="1"/>
    <col min="3" max="3" width="7.42578125" customWidth="1"/>
    <col min="4" max="4" width="11.28515625" customWidth="1"/>
    <col min="5" max="5" width="11.28515625" bestFit="1" customWidth="1"/>
    <col min="6" max="6" width="12" bestFit="1" customWidth="1"/>
    <col min="7" max="7" width="11.42578125" bestFit="1" customWidth="1"/>
    <col min="8" max="8" width="7" bestFit="1" customWidth="1"/>
    <col min="9" max="9" width="13.140625" customWidth="1"/>
    <col min="10" max="10" width="18.85546875" customWidth="1"/>
    <col min="11" max="11" width="12.7109375" customWidth="1"/>
    <col min="12" max="12" width="18.85546875" bestFit="1" customWidth="1"/>
    <col min="13" max="13" width="12.7109375" bestFit="1" customWidth="1"/>
    <col min="14" max="14" width="23.85546875" bestFit="1" customWidth="1"/>
    <col min="15" max="15" width="17.85546875" bestFit="1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J1" s="4" t="s">
        <v>29</v>
      </c>
      <c r="K1" t="s">
        <v>31</v>
      </c>
    </row>
    <row r="2" spans="1:11">
      <c r="A2" s="2" t="s">
        <v>8</v>
      </c>
      <c r="B2" s="3">
        <v>46029</v>
      </c>
      <c r="C2" s="2" t="s">
        <v>20</v>
      </c>
      <c r="D2" s="2" t="s">
        <v>24</v>
      </c>
      <c r="E2" s="2" t="s">
        <v>27</v>
      </c>
      <c r="F2" s="2">
        <v>3</v>
      </c>
      <c r="G2" s="2">
        <v>50000</v>
      </c>
      <c r="H2" s="2">
        <f>PRODUCT(F2,G2)</f>
        <v>150000</v>
      </c>
      <c r="J2" s="5" t="s">
        <v>20</v>
      </c>
      <c r="K2" s="6">
        <v>450000</v>
      </c>
    </row>
    <row r="3" spans="1:11">
      <c r="A3" s="2" t="s">
        <v>9</v>
      </c>
      <c r="B3" s="3">
        <v>46029</v>
      </c>
      <c r="C3" s="2" t="s">
        <v>21</v>
      </c>
      <c r="D3" s="2" t="s">
        <v>25</v>
      </c>
      <c r="E3" s="2" t="s">
        <v>28</v>
      </c>
      <c r="F3" s="2">
        <v>8</v>
      </c>
      <c r="G3" s="2">
        <v>20000</v>
      </c>
      <c r="H3" s="2">
        <f t="shared" ref="H3:H13" si="0">PRODUCT(F3,G3)</f>
        <v>160000</v>
      </c>
      <c r="J3" s="5" t="s">
        <v>23</v>
      </c>
      <c r="K3" s="6">
        <v>390000</v>
      </c>
    </row>
    <row r="4" spans="1:11">
      <c r="A4" s="2" t="s">
        <v>10</v>
      </c>
      <c r="B4" s="3">
        <v>46060</v>
      </c>
      <c r="C4" s="2" t="s">
        <v>22</v>
      </c>
      <c r="D4" s="2" t="s">
        <v>24</v>
      </c>
      <c r="E4" s="2" t="s">
        <v>28</v>
      </c>
      <c r="F4" s="2">
        <v>5</v>
      </c>
      <c r="G4" s="2">
        <v>20000</v>
      </c>
      <c r="H4" s="2">
        <f t="shared" si="0"/>
        <v>100000</v>
      </c>
      <c r="J4" s="5" t="s">
        <v>22</v>
      </c>
      <c r="K4" s="6">
        <v>380000</v>
      </c>
    </row>
    <row r="5" spans="1:11">
      <c r="A5" s="2" t="s">
        <v>11</v>
      </c>
      <c r="B5" s="3">
        <v>46060</v>
      </c>
      <c r="C5" s="2" t="s">
        <v>23</v>
      </c>
      <c r="D5" s="2" t="s">
        <v>26</v>
      </c>
      <c r="E5" s="2" t="s">
        <v>27</v>
      </c>
      <c r="F5" s="2">
        <v>2</v>
      </c>
      <c r="G5" s="2">
        <v>50000</v>
      </c>
      <c r="H5" s="2">
        <f t="shared" si="0"/>
        <v>100000</v>
      </c>
      <c r="J5" s="5" t="s">
        <v>21</v>
      </c>
      <c r="K5" s="6">
        <v>330000</v>
      </c>
    </row>
    <row r="6" spans="1:11">
      <c r="A6" s="2" t="s">
        <v>12</v>
      </c>
      <c r="B6" s="3">
        <v>46088</v>
      </c>
      <c r="C6" s="2" t="s">
        <v>20</v>
      </c>
      <c r="D6" s="2" t="s">
        <v>24</v>
      </c>
      <c r="E6" s="2" t="s">
        <v>28</v>
      </c>
      <c r="F6" s="2">
        <v>10</v>
      </c>
      <c r="G6" s="2">
        <v>20000</v>
      </c>
      <c r="H6" s="2">
        <f t="shared" si="0"/>
        <v>200000</v>
      </c>
      <c r="J6" s="5" t="s">
        <v>30</v>
      </c>
      <c r="K6" s="6">
        <v>1550000</v>
      </c>
    </row>
    <row r="7" spans="1:11">
      <c r="A7" s="2" t="s">
        <v>13</v>
      </c>
      <c r="B7" s="3">
        <v>46088</v>
      </c>
      <c r="C7" s="2" t="s">
        <v>21</v>
      </c>
      <c r="D7" s="2" t="s">
        <v>25</v>
      </c>
      <c r="E7" s="2" t="s">
        <v>27</v>
      </c>
      <c r="F7" s="2">
        <v>1</v>
      </c>
      <c r="G7" s="2">
        <v>50000</v>
      </c>
      <c r="H7" s="2">
        <f t="shared" si="0"/>
        <v>50000</v>
      </c>
    </row>
    <row r="8" spans="1:11">
      <c r="A8" s="2" t="s">
        <v>14</v>
      </c>
      <c r="B8" s="3">
        <v>46119</v>
      </c>
      <c r="C8" s="2" t="s">
        <v>22</v>
      </c>
      <c r="D8" s="2" t="s">
        <v>24</v>
      </c>
      <c r="E8" s="2" t="s">
        <v>27</v>
      </c>
      <c r="F8" s="2">
        <v>4</v>
      </c>
      <c r="G8" s="2">
        <v>50000</v>
      </c>
      <c r="H8" s="2">
        <f t="shared" si="0"/>
        <v>200000</v>
      </c>
    </row>
    <row r="9" spans="1:11">
      <c r="A9" s="2" t="s">
        <v>15</v>
      </c>
      <c r="B9" s="3">
        <v>46119</v>
      </c>
      <c r="C9" s="2" t="s">
        <v>23</v>
      </c>
      <c r="D9" s="2" t="s">
        <v>26</v>
      </c>
      <c r="E9" s="2" t="s">
        <v>28</v>
      </c>
      <c r="F9" s="2">
        <v>7</v>
      </c>
      <c r="G9" s="2">
        <v>20000</v>
      </c>
      <c r="H9" s="2">
        <f t="shared" si="0"/>
        <v>140000</v>
      </c>
    </row>
    <row r="10" spans="1:11">
      <c r="A10" s="2" t="s">
        <v>16</v>
      </c>
      <c r="B10" s="3">
        <v>46149</v>
      </c>
      <c r="C10" s="2" t="s">
        <v>20</v>
      </c>
      <c r="D10" s="2" t="s">
        <v>24</v>
      </c>
      <c r="E10" s="2" t="s">
        <v>27</v>
      </c>
      <c r="F10" s="2">
        <v>2</v>
      </c>
      <c r="G10" s="2">
        <v>50000</v>
      </c>
      <c r="H10" s="2">
        <f t="shared" si="0"/>
        <v>100000</v>
      </c>
    </row>
    <row r="11" spans="1:11">
      <c r="A11" s="2" t="s">
        <v>17</v>
      </c>
      <c r="B11" s="3">
        <v>46149</v>
      </c>
      <c r="C11" s="2" t="s">
        <v>21</v>
      </c>
      <c r="D11" s="2" t="s">
        <v>25</v>
      </c>
      <c r="E11" s="2" t="s">
        <v>28</v>
      </c>
      <c r="F11" s="2">
        <v>6</v>
      </c>
      <c r="G11" s="2">
        <v>20000</v>
      </c>
      <c r="H11" s="2">
        <f t="shared" si="0"/>
        <v>120000</v>
      </c>
    </row>
    <row r="12" spans="1:11">
      <c r="A12" s="2" t="s">
        <v>18</v>
      </c>
      <c r="B12" s="3">
        <v>46180</v>
      </c>
      <c r="C12" s="2" t="s">
        <v>22</v>
      </c>
      <c r="D12" s="2" t="s">
        <v>24</v>
      </c>
      <c r="E12" s="2" t="s">
        <v>28</v>
      </c>
      <c r="F12" s="2">
        <v>4</v>
      </c>
      <c r="G12" s="2">
        <v>20000</v>
      </c>
      <c r="H12" s="2">
        <f t="shared" si="0"/>
        <v>80000</v>
      </c>
    </row>
    <row r="13" spans="1:11">
      <c r="A13" s="2" t="s">
        <v>19</v>
      </c>
      <c r="B13" s="3">
        <v>46180</v>
      </c>
      <c r="C13" s="2" t="s">
        <v>23</v>
      </c>
      <c r="D13" s="2" t="s">
        <v>26</v>
      </c>
      <c r="E13" s="2" t="s">
        <v>27</v>
      </c>
      <c r="F13" s="2">
        <v>3</v>
      </c>
      <c r="G13" s="2">
        <v>50000</v>
      </c>
      <c r="H13" s="2">
        <f t="shared" si="0"/>
        <v>150000</v>
      </c>
    </row>
    <row r="16" spans="1:11">
      <c r="A16" s="4" t="s">
        <v>31</v>
      </c>
      <c r="B16" s="4" t="s">
        <v>32</v>
      </c>
    </row>
    <row r="17" spans="1:11">
      <c r="A17" s="4" t="s">
        <v>29</v>
      </c>
      <c r="B17" t="s">
        <v>24</v>
      </c>
      <c r="C17" t="s">
        <v>25</v>
      </c>
      <c r="D17" t="s">
        <v>26</v>
      </c>
      <c r="E17" t="s">
        <v>30</v>
      </c>
    </row>
    <row r="18" spans="1:11">
      <c r="A18" s="5" t="s">
        <v>27</v>
      </c>
      <c r="B18" s="6">
        <v>450000</v>
      </c>
      <c r="C18" s="6">
        <v>50000</v>
      </c>
      <c r="D18" s="6">
        <v>250000</v>
      </c>
      <c r="E18" s="6">
        <v>750000</v>
      </c>
    </row>
    <row r="19" spans="1:11">
      <c r="A19" s="5" t="s">
        <v>28</v>
      </c>
      <c r="B19" s="6">
        <v>380000</v>
      </c>
      <c r="C19" s="6">
        <v>280000</v>
      </c>
      <c r="D19" s="6">
        <v>140000</v>
      </c>
      <c r="E19" s="6">
        <v>800000</v>
      </c>
    </row>
    <row r="20" spans="1:11">
      <c r="A20" s="5" t="s">
        <v>30</v>
      </c>
      <c r="B20" s="6">
        <v>830000</v>
      </c>
      <c r="C20" s="6">
        <v>330000</v>
      </c>
      <c r="D20" s="6">
        <v>390000</v>
      </c>
      <c r="E20" s="6">
        <v>1550000</v>
      </c>
    </row>
    <row r="24" spans="1:11">
      <c r="J24" s="4" t="s">
        <v>34</v>
      </c>
    </row>
    <row r="25" spans="1:11">
      <c r="I25" s="4" t="s">
        <v>29</v>
      </c>
      <c r="J25" t="s">
        <v>33</v>
      </c>
      <c r="K25" t="s">
        <v>31</v>
      </c>
    </row>
    <row r="26" spans="1:11">
      <c r="I26" s="5" t="s">
        <v>20</v>
      </c>
      <c r="J26" s="6">
        <v>15</v>
      </c>
      <c r="K26" s="6">
        <v>450000</v>
      </c>
    </row>
    <row r="27" spans="1:11">
      <c r="I27" s="5" t="s">
        <v>23</v>
      </c>
      <c r="J27" s="6">
        <v>12</v>
      </c>
      <c r="K27" s="6">
        <v>390000</v>
      </c>
    </row>
    <row r="28" spans="1:11">
      <c r="I28" s="5" t="s">
        <v>22</v>
      </c>
      <c r="J28" s="6">
        <v>13</v>
      </c>
      <c r="K28" s="6">
        <v>380000</v>
      </c>
    </row>
    <row r="29" spans="1:11">
      <c r="I29" s="5" t="s">
        <v>21</v>
      </c>
      <c r="J29" s="6">
        <v>15</v>
      </c>
      <c r="K29" s="6">
        <v>330000</v>
      </c>
    </row>
    <row r="30" spans="1:11">
      <c r="I30" s="5" t="s">
        <v>30</v>
      </c>
      <c r="J30" s="6">
        <v>55</v>
      </c>
      <c r="K30" s="6">
        <v>1550000</v>
      </c>
    </row>
    <row r="33" spans="1:15">
      <c r="J33" s="4" t="s">
        <v>34</v>
      </c>
    </row>
    <row r="34" spans="1:15">
      <c r="I34" s="4" t="s">
        <v>29</v>
      </c>
      <c r="J34" t="s">
        <v>33</v>
      </c>
      <c r="K34" t="s">
        <v>31</v>
      </c>
    </row>
    <row r="35" spans="1:15">
      <c r="I35" s="7">
        <v>46029</v>
      </c>
      <c r="J35" s="6">
        <v>11</v>
      </c>
      <c r="K35" s="6">
        <v>310000</v>
      </c>
    </row>
    <row r="36" spans="1:15">
      <c r="I36" s="7">
        <v>46060</v>
      </c>
      <c r="J36" s="6">
        <v>7</v>
      </c>
      <c r="K36" s="6">
        <v>200000</v>
      </c>
    </row>
    <row r="37" spans="1:15">
      <c r="I37" s="7">
        <v>46088</v>
      </c>
      <c r="J37" s="6">
        <v>11</v>
      </c>
      <c r="K37" s="6">
        <v>250000</v>
      </c>
    </row>
    <row r="38" spans="1:15">
      <c r="A38" s="4" t="s">
        <v>31</v>
      </c>
      <c r="B38" s="4" t="s">
        <v>32</v>
      </c>
      <c r="I38" s="7">
        <v>46119</v>
      </c>
      <c r="J38" s="6">
        <v>11</v>
      </c>
      <c r="K38" s="6">
        <v>340000</v>
      </c>
    </row>
    <row r="39" spans="1:15">
      <c r="A39" s="4" t="s">
        <v>29</v>
      </c>
      <c r="B39" t="s">
        <v>27</v>
      </c>
      <c r="C39" t="s">
        <v>28</v>
      </c>
      <c r="D39" t="s">
        <v>30</v>
      </c>
      <c r="I39" s="7">
        <v>46149</v>
      </c>
      <c r="J39" s="6">
        <v>8</v>
      </c>
      <c r="K39" s="6">
        <v>220000</v>
      </c>
    </row>
    <row r="40" spans="1:15">
      <c r="A40" s="5" t="s">
        <v>20</v>
      </c>
      <c r="B40" s="6">
        <v>250000</v>
      </c>
      <c r="C40" s="6">
        <v>200000</v>
      </c>
      <c r="D40" s="6">
        <v>450000</v>
      </c>
      <c r="I40" s="7">
        <v>46180</v>
      </c>
      <c r="J40" s="6">
        <v>7</v>
      </c>
      <c r="K40" s="6">
        <v>230000</v>
      </c>
    </row>
    <row r="41" spans="1:15">
      <c r="A41" s="5" t="s">
        <v>23</v>
      </c>
      <c r="B41" s="6">
        <v>250000</v>
      </c>
      <c r="C41" s="6">
        <v>140000</v>
      </c>
      <c r="D41" s="6">
        <v>390000</v>
      </c>
      <c r="I41" s="7" t="s">
        <v>30</v>
      </c>
      <c r="J41" s="6">
        <v>55</v>
      </c>
      <c r="K41" s="6">
        <v>1550000</v>
      </c>
    </row>
    <row r="42" spans="1:15">
      <c r="A42" s="5" t="s">
        <v>22</v>
      </c>
      <c r="B42" s="6">
        <v>200000</v>
      </c>
      <c r="C42" s="6">
        <v>180000</v>
      </c>
      <c r="D42" s="6">
        <v>380000</v>
      </c>
    </row>
    <row r="43" spans="1:15">
      <c r="A43" s="5" t="s">
        <v>21</v>
      </c>
      <c r="B43" s="6">
        <v>50000</v>
      </c>
      <c r="C43" s="6">
        <v>280000</v>
      </c>
      <c r="D43" s="6">
        <v>330000</v>
      </c>
    </row>
    <row r="44" spans="1:15">
      <c r="A44" s="5" t="s">
        <v>30</v>
      </c>
      <c r="B44" s="6">
        <v>750000</v>
      </c>
      <c r="C44" s="6">
        <v>800000</v>
      </c>
      <c r="D44" s="6">
        <v>1550000</v>
      </c>
    </row>
    <row r="47" spans="1:15">
      <c r="J47" s="4" t="s">
        <v>32</v>
      </c>
    </row>
    <row r="48" spans="1:15">
      <c r="J48" t="s">
        <v>27</v>
      </c>
      <c r="L48" t="s">
        <v>28</v>
      </c>
      <c r="N48" t="s">
        <v>35</v>
      </c>
      <c r="O48" t="s">
        <v>36</v>
      </c>
    </row>
    <row r="49" spans="9:15">
      <c r="I49" s="4" t="s">
        <v>29</v>
      </c>
      <c r="J49" t="s">
        <v>33</v>
      </c>
      <c r="K49" t="s">
        <v>31</v>
      </c>
      <c r="L49" t="s">
        <v>33</v>
      </c>
      <c r="M49" t="s">
        <v>31</v>
      </c>
    </row>
    <row r="50" spans="9:15">
      <c r="I50" s="7">
        <v>46088</v>
      </c>
      <c r="J50" s="6">
        <v>1</v>
      </c>
      <c r="K50" s="6">
        <v>50000</v>
      </c>
      <c r="L50" s="6">
        <v>10</v>
      </c>
      <c r="M50" s="6">
        <v>200000</v>
      </c>
      <c r="N50" s="6">
        <v>11</v>
      </c>
      <c r="O50" s="6">
        <v>250000</v>
      </c>
    </row>
    <row r="51" spans="9:15">
      <c r="I51" s="7">
        <v>46119</v>
      </c>
      <c r="J51" s="6">
        <v>4</v>
      </c>
      <c r="K51" s="6">
        <v>200000</v>
      </c>
      <c r="L51" s="6">
        <v>7</v>
      </c>
      <c r="M51" s="6">
        <v>140000</v>
      </c>
      <c r="N51" s="6">
        <v>11</v>
      </c>
      <c r="O51" s="6">
        <v>340000</v>
      </c>
    </row>
    <row r="52" spans="9:15">
      <c r="I52" s="7">
        <v>46180</v>
      </c>
      <c r="J52" s="6">
        <v>3</v>
      </c>
      <c r="K52" s="6">
        <v>150000</v>
      </c>
      <c r="L52" s="6">
        <v>4</v>
      </c>
      <c r="M52" s="6">
        <v>80000</v>
      </c>
      <c r="N52" s="6">
        <v>7</v>
      </c>
      <c r="O52" s="6">
        <v>230000</v>
      </c>
    </row>
    <row r="53" spans="9:15">
      <c r="I53" s="7" t="s">
        <v>30</v>
      </c>
      <c r="J53" s="6">
        <v>8</v>
      </c>
      <c r="K53" s="6">
        <v>400000</v>
      </c>
      <c r="L53" s="6">
        <v>21</v>
      </c>
      <c r="M53" s="6">
        <v>420000</v>
      </c>
      <c r="N53" s="6">
        <v>29</v>
      </c>
      <c r="O53" s="6">
        <v>820000</v>
      </c>
    </row>
  </sheetData>
  <pageMargins left="0.7" right="0.7" top="0.75" bottom="0.75" header="0.3" footer="0.3"/>
  <pageSetup orientation="portrait" r:id="rId7"/>
  <drawing r:id="rId8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2026-08-23T07:24:08Z</dcterms:created>
  <dcterms:modified xsi:type="dcterms:W3CDTF">2026-08-23T09:00:27Z</dcterms:modified>
</cp:coreProperties>
</file>